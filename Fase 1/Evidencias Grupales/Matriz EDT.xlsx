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Ias+5kpkNjc8iBhbQBH+pLToahb050OaBwa1Occ4Vow="/>
    </ext>
  </extLst>
</workbook>
</file>

<file path=xl/sharedStrings.xml><?xml version="1.0" encoding="utf-8"?>
<sst xmlns="http://schemas.openxmlformats.org/spreadsheetml/2006/main" count="237" uniqueCount="105">
  <si>
    <t>SIGLA</t>
  </si>
  <si>
    <t>Matriz Estructura de descomposición de tareas EDT</t>
  </si>
  <si>
    <t>ROL</t>
  </si>
  <si>
    <t>NOMBRE</t>
  </si>
  <si>
    <t>VALOR HORA HH</t>
  </si>
  <si>
    <t>HORAS</t>
  </si>
  <si>
    <t>FASE PLANIFICACION</t>
  </si>
  <si>
    <t>COSTO POR HORA</t>
  </si>
  <si>
    <t>Etapas</t>
  </si>
  <si>
    <t>DIAS</t>
  </si>
  <si>
    <t>JP</t>
  </si>
  <si>
    <t>HORAS POR ACTIVIDAD O ENTREGABLE</t>
  </si>
  <si>
    <t>Jefe de Proyecto</t>
  </si>
  <si>
    <t>Juan Pablo Navarro</t>
  </si>
  <si>
    <t>DICCIONARIO EDT</t>
  </si>
  <si>
    <t>Fase de Planificación</t>
  </si>
  <si>
    <t>Analista Programador</t>
  </si>
  <si>
    <t>DBA</t>
  </si>
  <si>
    <t>QA</t>
  </si>
  <si>
    <t>Diseñador</t>
  </si>
  <si>
    <t>ROL ACTOR</t>
  </si>
  <si>
    <t>NOMBRE ACTOR</t>
  </si>
  <si>
    <t>HORAS ROL</t>
  </si>
  <si>
    <t>Acta de Constitución de proyecto</t>
  </si>
  <si>
    <t>COSTO x HORA</t>
  </si>
  <si>
    <t>Sueldo mes</t>
  </si>
  <si>
    <t>AP</t>
  </si>
  <si>
    <t>Fernando Carreño</t>
  </si>
  <si>
    <t>$25.000</t>
  </si>
  <si>
    <t>$1.800.000</t>
  </si>
  <si>
    <t>Desarrollador BD</t>
  </si>
  <si>
    <t>Jorge Garay</t>
  </si>
  <si>
    <t>$15.000</t>
  </si>
  <si>
    <t>$1.200.000</t>
  </si>
  <si>
    <t>Calidad Y Testing</t>
  </si>
  <si>
    <t>Aprobación del Acta</t>
  </si>
  <si>
    <t>Hugo gonzalez</t>
  </si>
  <si>
    <t>Administrador BD</t>
  </si>
  <si>
    <t>$18.000</t>
  </si>
  <si>
    <t>$1.400.000</t>
  </si>
  <si>
    <t>DI</t>
  </si>
  <si>
    <t>Anibal carrasco</t>
  </si>
  <si>
    <t>$12.000</t>
  </si>
  <si>
    <t>$1.000.000</t>
  </si>
  <si>
    <t>TOTAL FASE PLANIFICACION</t>
  </si>
  <si>
    <t>Definición de requerimientos Generales</t>
  </si>
  <si>
    <t>$14.000</t>
  </si>
  <si>
    <t>$1.100.000</t>
  </si>
  <si>
    <t xml:space="preserve">VALOR HORA HH </t>
  </si>
  <si>
    <t>FASE DISEÑO</t>
  </si>
  <si>
    <t>COSTO HH POR ROL</t>
  </si>
  <si>
    <t>Organización del equipo</t>
  </si>
  <si>
    <t>Fase de Análisis y diseño</t>
  </si>
  <si>
    <t xml:space="preserve">Captura de requerimientos específicos </t>
  </si>
  <si>
    <t>Documento de arquitectura SW</t>
  </si>
  <si>
    <t>Documento de casos de uso</t>
  </si>
  <si>
    <t>Prototipos</t>
  </si>
  <si>
    <t>Propuesta ERS</t>
  </si>
  <si>
    <t>Fase de Desarrollo</t>
  </si>
  <si>
    <t>Implementación ambiente de desarrollo</t>
  </si>
  <si>
    <t xml:space="preserve">Creacion de los script de tablas base de datos </t>
  </si>
  <si>
    <t xml:space="preserve">Creacion de los script de consultas PL/SQL </t>
  </si>
  <si>
    <t>Modulo del Administrador de sistema</t>
  </si>
  <si>
    <t>Administrar Perfiles</t>
  </si>
  <si>
    <t>Administrar Credenciales</t>
  </si>
  <si>
    <t>Registro y Auditoria de Accesos</t>
  </si>
  <si>
    <t>Modulo de Denuncias y Felicitaciones</t>
  </si>
  <si>
    <t>TOTAL FASE DISEÑO</t>
  </si>
  <si>
    <t>Registrar Denuncia</t>
  </si>
  <si>
    <t>Registrar Felicitaciones</t>
  </si>
  <si>
    <t>Anular Denuncias</t>
  </si>
  <si>
    <t>TOTAL HH</t>
  </si>
  <si>
    <t>Modulo de Solicitudes y Reclamos</t>
  </si>
  <si>
    <t>Administrar Solicitudes</t>
  </si>
  <si>
    <t>Administrar Reclamos</t>
  </si>
  <si>
    <t>Modificar y Anular Solicitudes</t>
  </si>
  <si>
    <t>FASE DESARROLLO</t>
  </si>
  <si>
    <t>COSTO POR FASE</t>
  </si>
  <si>
    <t>Modulo de Reportes y Dashboard</t>
  </si>
  <si>
    <t>Reporte de Solicitudes por Estado</t>
  </si>
  <si>
    <t>Reporte de Tiempos de Respuesta</t>
  </si>
  <si>
    <t>Reporte de Denuncias e Incidencias</t>
  </si>
  <si>
    <t>Reporte Historico y Filtros Avanzados</t>
  </si>
  <si>
    <t>Dashboard de Metricas Directivas</t>
  </si>
  <si>
    <t>Fase de Pruebas y QA</t>
  </si>
  <si>
    <t>Fase de Análisis y Diseño</t>
  </si>
  <si>
    <t>Implementación ambiente de pruebas</t>
  </si>
  <si>
    <t>Pruebas Funcionales</t>
  </si>
  <si>
    <t>Pruebas con Usuarios</t>
  </si>
  <si>
    <t>Fase de implementación y cierre</t>
  </si>
  <si>
    <t>Fase de QA</t>
  </si>
  <si>
    <t>Migración del sistema a producción</t>
  </si>
  <si>
    <t>Capacitaciones</t>
  </si>
  <si>
    <t>Fase de Implementación y Cierre</t>
  </si>
  <si>
    <t>Manuales Usuario</t>
  </si>
  <si>
    <t>TOTAL FASE DESARROLLO</t>
  </si>
  <si>
    <t>Acta cierre de proyecto</t>
  </si>
  <si>
    <t>TOTAL HH FASES</t>
  </si>
  <si>
    <t>FASE PRUEBAS QA</t>
  </si>
  <si>
    <t xml:space="preserve">Margen </t>
  </si>
  <si>
    <t>UTILIDAD</t>
  </si>
  <si>
    <t>PRECIO FINAL</t>
  </si>
  <si>
    <t>TOTAL FASE PRUEBAS QA</t>
  </si>
  <si>
    <t>FASE IMPLEMENTACION Y CIERRE</t>
  </si>
  <si>
    <t>TOTAL FASE IMPLEMENTACION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</si>
</sst>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;\-0\ "/>
    <numFmt numFmtId="165" formatCode="_ &quot;$&quot;* #,##0_ ;_ &quot;$&quot;* \-#,##0_ ;_ &quot;$&quot;* &quot;-&quot;_ ;_ @_ 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color theme="1"/>
      <name val="Calibri"/>
      <scheme val="minor"/>
    </font>
    <font>
      <sz val="11.0"/>
      <color rgb="FF000000"/>
      <name val="Calibri"/>
    </font>
    <font>
      <b/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center"/>
    </xf>
    <xf borderId="1" fillId="0" fontId="1" numFmtId="0" xfId="0" applyBorder="1" applyFont="1"/>
    <xf borderId="6" fillId="0" fontId="3" numFmtId="0" xfId="0" applyBorder="1" applyFont="1"/>
    <xf borderId="7" fillId="0" fontId="3" numFmtId="0" xfId="0" applyBorder="1" applyFont="1"/>
    <xf borderId="1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11" fillId="2" fontId="1" numFmtId="0" xfId="0" applyBorder="1" applyFill="1" applyFont="1"/>
    <xf borderId="1" fillId="2" fontId="1" numFmtId="0" xfId="0" applyBorder="1" applyFill="1" applyFont="1"/>
    <xf borderId="1" fillId="2" fontId="4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2" fillId="4" fontId="5" numFmtId="0" xfId="0" applyBorder="1" applyFill="1" applyFont="1"/>
    <xf borderId="1" fillId="0" fontId="1" numFmtId="0" xfId="0" applyAlignment="1" applyBorder="1" applyFont="1">
      <alignment horizontal="center" readingOrder="0"/>
    </xf>
    <xf borderId="1" fillId="0" fontId="1" numFmtId="165" xfId="0" applyBorder="1" applyFont="1" applyNumberFormat="1"/>
    <xf borderId="1" fillId="0" fontId="1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1" fillId="0" fontId="4" numFmtId="0" xfId="0" applyBorder="1" applyFont="1"/>
    <xf borderId="0" fillId="0" fontId="5" numFmtId="0" xfId="0" applyAlignment="1" applyFont="1">
      <alignment horizontal="left" readingOrder="0" shrinkToFit="0" wrapText="1"/>
    </xf>
    <xf borderId="13" fillId="4" fontId="5" numFmtId="0" xfId="0" applyBorder="1" applyFill="1" applyFont="1"/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5" fontId="6" numFmtId="0" xfId="0" applyBorder="1" applyFill="1" applyFont="1"/>
    <xf borderId="1" fillId="5" fontId="6" numFmtId="165" xfId="0" applyBorder="1" applyFill="1" applyFont="1" applyNumberFormat="1"/>
    <xf borderId="0" fillId="0" fontId="4" numFmtId="3" xfId="0" applyAlignment="1" applyFont="1" applyNumberFormat="1">
      <alignment readingOrder="0"/>
    </xf>
    <xf borderId="1" fillId="4" fontId="5" numFmtId="0" xfId="0" applyAlignment="1" applyBorder="1" applyFill="1" applyFont="1">
      <alignment horizontal="left"/>
    </xf>
    <xf borderId="1" fillId="0" fontId="4" numFmtId="0" xfId="0" applyAlignment="1" applyBorder="1" applyFont="1">
      <alignment readingOrder="0"/>
    </xf>
    <xf borderId="12" fillId="4" fontId="5" numFmtId="0" xfId="0" applyAlignment="1" applyBorder="1" applyFill="1" applyFont="1">
      <alignment horizontal="left"/>
    </xf>
    <xf borderId="1" fillId="0" fontId="1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9.43"/>
    <col customWidth="1" min="2" max="2" width="7.43"/>
    <col customWidth="1" min="3" max="3" width="10.71"/>
    <col customWidth="1" min="4" max="4" width="12.86"/>
    <col customWidth="1" min="5" max="5" width="9.14"/>
    <col customWidth="1" min="6" max="6" width="8.14"/>
    <col customWidth="1" min="7" max="7" width="12.0"/>
    <col customWidth="1" min="8" max="8" width="5.0"/>
    <col customWidth="1" min="9" max="9" width="23.29"/>
    <col customWidth="1" min="10" max="10" width="29.71"/>
    <col customWidth="1" min="11" max="26" width="10.71"/>
  </cols>
  <sheetData>
    <row r="1" ht="14.25" customHeight="1"/>
    <row r="2" ht="14.25" customHeight="1">
      <c r="A2" s="2" t="s">
        <v>1</v>
      </c>
      <c r="B2" s="4"/>
      <c r="C2" s="4"/>
      <c r="D2" s="5"/>
    </row>
    <row r="3" ht="14.25" customHeight="1"/>
    <row r="4" ht="14.25" customHeight="1">
      <c r="A4" s="7" t="s">
        <v>8</v>
      </c>
      <c r="B4" s="10" t="s">
        <v>9</v>
      </c>
      <c r="C4" s="11" t="s">
        <v>11</v>
      </c>
      <c r="D4" s="13"/>
      <c r="E4" s="13"/>
      <c r="F4" s="13"/>
      <c r="G4" s="14"/>
      <c r="I4" s="11" t="s">
        <v>14</v>
      </c>
      <c r="J4" s="13"/>
      <c r="K4" s="14"/>
    </row>
    <row r="5" ht="14.25" customHeight="1">
      <c r="A5" s="15" t="s">
        <v>15</v>
      </c>
      <c r="B5" s="16"/>
      <c r="C5" s="3" t="s">
        <v>12</v>
      </c>
      <c r="D5" s="3" t="s">
        <v>16</v>
      </c>
      <c r="E5" s="3" t="s">
        <v>17</v>
      </c>
      <c r="F5" s="3" t="s">
        <v>18</v>
      </c>
      <c r="G5" s="3" t="s">
        <v>19</v>
      </c>
      <c r="I5" s="1" t="s">
        <v>20</v>
      </c>
      <c r="J5" s="1" t="s">
        <v>21</v>
      </c>
      <c r="K5" s="17" t="s">
        <v>22</v>
      </c>
    </row>
    <row r="6" ht="14.25" customHeight="1" outlineLevel="1">
      <c r="A6" s="19" t="s">
        <v>23</v>
      </c>
      <c r="B6" s="12">
        <v>2.0</v>
      </c>
      <c r="C6" s="20">
        <v>16.0</v>
      </c>
      <c r="D6" s="20">
        <v>0.0</v>
      </c>
      <c r="E6" s="20">
        <v>0.0</v>
      </c>
      <c r="F6" s="20">
        <v>0.0</v>
      </c>
      <c r="G6" s="20">
        <v>0.0</v>
      </c>
      <c r="I6" s="7" t="s">
        <v>12</v>
      </c>
      <c r="J6" s="12" t="s">
        <v>13</v>
      </c>
      <c r="K6" s="24">
        <f>SUM(C6:C9,C12:C16,C18:C38,C40:C42,C44:C47)</f>
        <v>280</v>
      </c>
    </row>
    <row r="7" ht="14.25" customHeight="1" outlineLevel="1">
      <c r="A7" s="19" t="s">
        <v>35</v>
      </c>
      <c r="B7" s="12">
        <v>1.0</v>
      </c>
      <c r="C7" s="20">
        <v>8.0</v>
      </c>
      <c r="D7" s="20">
        <v>0.0</v>
      </c>
      <c r="E7" s="20">
        <v>0.0</v>
      </c>
      <c r="F7" s="20">
        <v>0.0</v>
      </c>
      <c r="G7" s="20">
        <v>0.0</v>
      </c>
      <c r="I7" s="7" t="s">
        <v>16</v>
      </c>
      <c r="J7" s="22" t="s">
        <v>27</v>
      </c>
      <c r="K7" s="24">
        <f>SUM(D6:D9,D12:D16,D18:D38,D40:D42,D44:D47)</f>
        <v>560</v>
      </c>
    </row>
    <row r="8" ht="14.25" customHeight="1" outlineLevel="1">
      <c r="A8" s="19" t="s">
        <v>45</v>
      </c>
      <c r="B8" s="12">
        <v>2.0</v>
      </c>
      <c r="C8" s="20">
        <v>16.0</v>
      </c>
      <c r="D8" s="20">
        <v>12.0</v>
      </c>
      <c r="E8" s="20">
        <v>0.0</v>
      </c>
      <c r="F8" s="20">
        <v>0.0</v>
      </c>
      <c r="G8" s="20">
        <v>12.0</v>
      </c>
      <c r="I8" s="7" t="s">
        <v>17</v>
      </c>
      <c r="J8" s="12" t="s">
        <v>31</v>
      </c>
      <c r="K8" s="24">
        <f>SUM(E5:E9,E12:E16,E18:E38,E40:E42,E44:E47)</f>
        <v>280</v>
      </c>
    </row>
    <row r="9" ht="14.25" customHeight="1" outlineLevel="1">
      <c r="A9" s="19" t="s">
        <v>51</v>
      </c>
      <c r="B9" s="12">
        <v>2.0</v>
      </c>
      <c r="C9" s="20">
        <v>16.0</v>
      </c>
      <c r="D9" s="20">
        <v>12.0</v>
      </c>
      <c r="E9" s="20">
        <v>8.0</v>
      </c>
      <c r="F9" s="20">
        <v>8.0</v>
      </c>
      <c r="G9" s="20">
        <v>8.0</v>
      </c>
      <c r="I9" s="7" t="s">
        <v>18</v>
      </c>
      <c r="J9" s="12" t="s">
        <v>36</v>
      </c>
      <c r="K9" s="24">
        <f>SUM(F6:F9,F12:F16,F18:F38,F40:F42,F44:F46,F47)</f>
        <v>262</v>
      </c>
    </row>
    <row r="10" ht="14.25" customHeight="1" outlineLevel="1">
      <c r="A10" s="7"/>
      <c r="B10" s="7"/>
      <c r="C10" s="10"/>
      <c r="D10" s="10"/>
      <c r="E10" s="10"/>
      <c r="F10" s="10"/>
      <c r="G10" s="10"/>
      <c r="I10" s="7" t="s">
        <v>19</v>
      </c>
      <c r="J10" s="12" t="s">
        <v>41</v>
      </c>
      <c r="K10" s="24">
        <f>SUM(G6:G9,G12:G16,G18:G38,G40:G42,G44:G47)</f>
        <v>390</v>
      </c>
    </row>
    <row r="11" ht="14.25" customHeight="1">
      <c r="A11" s="16" t="s">
        <v>52</v>
      </c>
      <c r="B11" s="16"/>
      <c r="C11" s="3" t="s">
        <v>12</v>
      </c>
      <c r="D11" s="3" t="s">
        <v>16</v>
      </c>
      <c r="E11" s="3" t="s">
        <v>17</v>
      </c>
      <c r="F11" s="3" t="s">
        <v>18</v>
      </c>
      <c r="G11" s="3" t="s">
        <v>19</v>
      </c>
    </row>
    <row r="12" ht="14.25" customHeight="1" outlineLevel="1">
      <c r="A12" s="19" t="s">
        <v>53</v>
      </c>
      <c r="B12" s="12">
        <v>5.0</v>
      </c>
      <c r="C12" s="20">
        <v>25.0</v>
      </c>
      <c r="D12" s="20">
        <v>25.0</v>
      </c>
      <c r="E12" s="20">
        <v>20.0</v>
      </c>
      <c r="F12" s="20">
        <v>20.0</v>
      </c>
      <c r="G12" s="20">
        <v>20.0</v>
      </c>
    </row>
    <row r="13" ht="14.25" customHeight="1" outlineLevel="1">
      <c r="A13" s="26" t="s">
        <v>54</v>
      </c>
      <c r="B13" s="12">
        <v>5.0</v>
      </c>
      <c r="C13" s="20">
        <v>20.0</v>
      </c>
      <c r="D13" s="20">
        <v>40.0</v>
      </c>
      <c r="E13" s="20">
        <v>20.0</v>
      </c>
      <c r="F13" s="20">
        <v>10.0</v>
      </c>
      <c r="G13" s="20">
        <v>10.0</v>
      </c>
    </row>
    <row r="14" ht="14.25" customHeight="1" outlineLevel="1">
      <c r="A14" s="19" t="s">
        <v>55</v>
      </c>
      <c r="B14" s="12">
        <v>3.0</v>
      </c>
      <c r="C14" s="20">
        <v>18.0</v>
      </c>
      <c r="D14" s="20">
        <v>20.0</v>
      </c>
      <c r="E14" s="20">
        <v>14.0</v>
      </c>
      <c r="F14" s="20">
        <v>14.0</v>
      </c>
      <c r="G14" s="20">
        <v>14.0</v>
      </c>
    </row>
    <row r="15" ht="14.25" customHeight="1" outlineLevel="1">
      <c r="A15" s="19" t="s">
        <v>56</v>
      </c>
      <c r="B15" s="12">
        <v>2.0</v>
      </c>
      <c r="C15" s="20">
        <v>10.0</v>
      </c>
      <c r="D15" s="20">
        <v>16.0</v>
      </c>
      <c r="E15" s="20">
        <v>0.0</v>
      </c>
      <c r="F15" s="20">
        <v>8.0</v>
      </c>
      <c r="G15" s="20">
        <v>32.0</v>
      </c>
    </row>
    <row r="16" ht="14.25" customHeight="1" outlineLevel="1">
      <c r="A16" s="19" t="s">
        <v>57</v>
      </c>
      <c r="B16" s="12">
        <v>5.0</v>
      </c>
      <c r="C16" s="20">
        <v>25.0</v>
      </c>
      <c r="D16" s="20">
        <v>25.0</v>
      </c>
      <c r="E16" s="20">
        <v>20.0</v>
      </c>
      <c r="F16" s="20">
        <v>20.0</v>
      </c>
      <c r="G16" s="20">
        <v>20.0</v>
      </c>
    </row>
    <row r="17" ht="14.25" customHeight="1">
      <c r="A17" s="16" t="s">
        <v>58</v>
      </c>
      <c r="B17" s="16"/>
      <c r="C17" s="3" t="s">
        <v>12</v>
      </c>
      <c r="D17" s="3" t="s">
        <v>16</v>
      </c>
      <c r="E17" s="3" t="s">
        <v>17</v>
      </c>
      <c r="F17" s="3" t="s">
        <v>18</v>
      </c>
      <c r="G17" s="3" t="s">
        <v>19</v>
      </c>
    </row>
    <row r="18" ht="18.0" customHeight="1" outlineLevel="1">
      <c r="A18" s="19" t="s">
        <v>59</v>
      </c>
      <c r="B18" s="12">
        <v>2.0</v>
      </c>
      <c r="C18" s="20">
        <v>8.0</v>
      </c>
      <c r="D18" s="20">
        <v>16.0</v>
      </c>
      <c r="E18" s="20">
        <v>10.0</v>
      </c>
      <c r="F18" s="20">
        <v>4.0</v>
      </c>
      <c r="G18" s="20">
        <v>0.0</v>
      </c>
    </row>
    <row r="19" ht="18.0" customHeight="1" outlineLevel="1">
      <c r="A19" s="19" t="s">
        <v>60</v>
      </c>
      <c r="B19" s="12">
        <v>3.0</v>
      </c>
      <c r="C19" s="20">
        <v>6.0</v>
      </c>
      <c r="D19" s="20">
        <v>24.0</v>
      </c>
      <c r="E19" s="20">
        <v>20.0</v>
      </c>
      <c r="F19" s="20">
        <v>4.0</v>
      </c>
      <c r="G19" s="20">
        <v>0.0</v>
      </c>
    </row>
    <row r="20" ht="18.0" customHeight="1" outlineLevel="1">
      <c r="A20" s="19" t="s">
        <v>61</v>
      </c>
      <c r="B20" s="12">
        <v>4.0</v>
      </c>
      <c r="C20" s="20">
        <v>8.0</v>
      </c>
      <c r="D20" s="20">
        <v>28.0</v>
      </c>
      <c r="E20" s="20">
        <v>24.0</v>
      </c>
      <c r="F20" s="20">
        <v>4.0</v>
      </c>
      <c r="G20" s="20">
        <v>0.0</v>
      </c>
    </row>
    <row r="21" ht="18.0" customHeight="1" outlineLevel="1">
      <c r="A21" s="27" t="s">
        <v>62</v>
      </c>
      <c r="B21" s="7"/>
      <c r="C21" s="10"/>
      <c r="D21" s="10"/>
      <c r="E21" s="10"/>
      <c r="F21" s="10"/>
      <c r="G21" s="10"/>
    </row>
    <row r="22" ht="18.0" customHeight="1" outlineLevel="1">
      <c r="A22" s="28" t="s">
        <v>63</v>
      </c>
      <c r="B22" s="12">
        <v>2.0</v>
      </c>
      <c r="C22" s="20">
        <v>4.0</v>
      </c>
      <c r="D22" s="20">
        <v>16.0</v>
      </c>
      <c r="E22" s="20">
        <v>6.0</v>
      </c>
      <c r="F22" s="20">
        <v>3.0</v>
      </c>
      <c r="G22" s="20">
        <v>2.0</v>
      </c>
    </row>
    <row r="23" ht="18.0" customHeight="1" outlineLevel="1">
      <c r="A23" s="28" t="s">
        <v>64</v>
      </c>
      <c r="B23" s="12">
        <v>2.0</v>
      </c>
      <c r="C23" s="20">
        <v>4.0</v>
      </c>
      <c r="D23" s="20">
        <v>16.0</v>
      </c>
      <c r="E23" s="20">
        <v>6.0</v>
      </c>
      <c r="F23" s="20">
        <v>3.0</v>
      </c>
      <c r="G23" s="20">
        <v>2.0</v>
      </c>
    </row>
    <row r="24" ht="18.0" customHeight="1" outlineLevel="1">
      <c r="A24" s="27" t="s">
        <v>65</v>
      </c>
      <c r="B24" s="12">
        <v>2.0</v>
      </c>
      <c r="C24" s="20">
        <v>4.0</v>
      </c>
      <c r="D24" s="20">
        <v>16.0</v>
      </c>
      <c r="E24" s="20">
        <v>8.0</v>
      </c>
      <c r="F24" s="20">
        <v>3.0</v>
      </c>
      <c r="G24" s="20">
        <v>0.0</v>
      </c>
    </row>
    <row r="25" ht="18.0" customHeight="1" outlineLevel="1">
      <c r="A25" s="28" t="s">
        <v>66</v>
      </c>
      <c r="B25" s="7"/>
      <c r="C25" s="10"/>
      <c r="D25" s="10"/>
      <c r="E25" s="10"/>
      <c r="F25" s="10"/>
      <c r="G25" s="10"/>
    </row>
    <row r="26" ht="18.0" customHeight="1" outlineLevel="1">
      <c r="A26" s="28" t="s">
        <v>68</v>
      </c>
      <c r="B26" s="12">
        <v>3.0</v>
      </c>
      <c r="C26" s="20">
        <v>6.0</v>
      </c>
      <c r="D26" s="20">
        <v>24.0</v>
      </c>
      <c r="E26" s="20">
        <v>8.0</v>
      </c>
      <c r="F26" s="20">
        <v>4.0</v>
      </c>
      <c r="G26" s="20">
        <v>3.0</v>
      </c>
    </row>
    <row r="27" ht="18.0" customHeight="1" outlineLevel="1">
      <c r="A27" s="28" t="s">
        <v>69</v>
      </c>
      <c r="B27" s="12">
        <v>2.0</v>
      </c>
      <c r="C27" s="20">
        <v>4.0</v>
      </c>
      <c r="D27" s="20">
        <v>16.0</v>
      </c>
      <c r="E27" s="20">
        <v>6.0</v>
      </c>
      <c r="F27" s="20">
        <v>3.0</v>
      </c>
      <c r="G27" s="20">
        <v>2.0</v>
      </c>
    </row>
    <row r="28" ht="18.0" customHeight="1" outlineLevel="1">
      <c r="A28" s="27" t="s">
        <v>70</v>
      </c>
      <c r="B28" s="12">
        <v>2.0</v>
      </c>
      <c r="C28" s="20">
        <v>4.0</v>
      </c>
      <c r="D28" s="20">
        <v>16.0</v>
      </c>
      <c r="E28" s="20">
        <v>6.0</v>
      </c>
      <c r="F28" s="20">
        <v>3.0</v>
      </c>
      <c r="G28" s="20">
        <v>1.0</v>
      </c>
    </row>
    <row r="29" ht="18.0" customHeight="1" outlineLevel="1">
      <c r="A29" s="28" t="s">
        <v>72</v>
      </c>
      <c r="B29" s="7"/>
      <c r="C29" s="10"/>
      <c r="D29" s="10"/>
      <c r="E29" s="10"/>
      <c r="F29" s="10"/>
      <c r="G29" s="10"/>
    </row>
    <row r="30" ht="18.0" customHeight="1" outlineLevel="1">
      <c r="A30" s="28" t="s">
        <v>73</v>
      </c>
      <c r="B30" s="12">
        <v>4.0</v>
      </c>
      <c r="C30" s="20">
        <v>8.0</v>
      </c>
      <c r="D30" s="20">
        <v>32.0</v>
      </c>
      <c r="E30" s="20">
        <v>10.0</v>
      </c>
      <c r="F30" s="20">
        <v>5.0</v>
      </c>
      <c r="G30" s="20">
        <v>4.0</v>
      </c>
    </row>
    <row r="31" ht="18.0" customHeight="1" outlineLevel="1">
      <c r="A31" s="28" t="s">
        <v>74</v>
      </c>
      <c r="B31" s="12">
        <v>4.0</v>
      </c>
      <c r="C31" s="20">
        <v>8.0</v>
      </c>
      <c r="D31" s="20">
        <v>32.0</v>
      </c>
      <c r="E31" s="20">
        <v>10.0</v>
      </c>
      <c r="F31" s="20">
        <v>5.0</v>
      </c>
      <c r="G31" s="20">
        <v>4.0</v>
      </c>
    </row>
    <row r="32" ht="18.0" customHeight="1" outlineLevel="1">
      <c r="A32" s="27" t="s">
        <v>75</v>
      </c>
      <c r="B32" s="12">
        <v>3.0</v>
      </c>
      <c r="C32" s="20">
        <v>6.0</v>
      </c>
      <c r="D32" s="20">
        <v>24.0</v>
      </c>
      <c r="E32" s="20">
        <v>8.0</v>
      </c>
      <c r="F32" s="20">
        <v>4.0</v>
      </c>
      <c r="G32" s="20">
        <v>2.0</v>
      </c>
    </row>
    <row r="33" ht="18.0" customHeight="1" outlineLevel="1">
      <c r="A33" s="28" t="s">
        <v>78</v>
      </c>
      <c r="B33" s="7"/>
      <c r="C33" s="10"/>
      <c r="D33" s="10"/>
      <c r="E33" s="10"/>
      <c r="F33" s="10"/>
      <c r="G33" s="10"/>
    </row>
    <row r="34" ht="18.0" customHeight="1" outlineLevel="1">
      <c r="A34" s="28" t="s">
        <v>79</v>
      </c>
      <c r="B34" s="12">
        <v>2.0</v>
      </c>
      <c r="C34" s="20">
        <v>4.0</v>
      </c>
      <c r="D34" s="20">
        <v>16.0</v>
      </c>
      <c r="E34" s="20">
        <v>5.0</v>
      </c>
      <c r="F34" s="20">
        <v>3.0</v>
      </c>
      <c r="G34" s="20">
        <v>4.0</v>
      </c>
    </row>
    <row r="35" ht="18.0" customHeight="1" outlineLevel="1">
      <c r="A35" s="28" t="s">
        <v>80</v>
      </c>
      <c r="B35" s="12">
        <v>2.0</v>
      </c>
      <c r="C35" s="20">
        <v>4.0</v>
      </c>
      <c r="D35" s="20">
        <v>16.0</v>
      </c>
      <c r="E35" s="20">
        <v>5.0</v>
      </c>
      <c r="F35" s="20">
        <v>3.0</v>
      </c>
      <c r="G35" s="20">
        <v>4.0</v>
      </c>
    </row>
    <row r="36" ht="18.0" customHeight="1" outlineLevel="1">
      <c r="A36" s="27" t="s">
        <v>81</v>
      </c>
      <c r="B36" s="12">
        <v>3.0</v>
      </c>
      <c r="C36" s="20">
        <v>6.0</v>
      </c>
      <c r="D36" s="20">
        <v>20.0</v>
      </c>
      <c r="E36" s="20">
        <v>5.0</v>
      </c>
      <c r="F36" s="20">
        <v>3.0</v>
      </c>
      <c r="G36" s="20">
        <v>6.0</v>
      </c>
    </row>
    <row r="37" ht="18.0" customHeight="1" outlineLevel="1">
      <c r="A37" s="28" t="s">
        <v>82</v>
      </c>
      <c r="B37" s="12">
        <v>3.0</v>
      </c>
      <c r="C37" s="20">
        <v>6.0</v>
      </c>
      <c r="D37" s="20">
        <v>20.0</v>
      </c>
      <c r="E37" s="20">
        <v>6.0</v>
      </c>
      <c r="F37" s="20">
        <v>3.0</v>
      </c>
      <c r="G37" s="20">
        <v>6.0</v>
      </c>
    </row>
    <row r="38" ht="18.0" customHeight="1" outlineLevel="1">
      <c r="A38" s="28" t="s">
        <v>83</v>
      </c>
      <c r="B38" s="12">
        <v>3.0</v>
      </c>
      <c r="C38" s="20">
        <v>8.0</v>
      </c>
      <c r="D38" s="20">
        <v>24.0</v>
      </c>
      <c r="E38" s="20">
        <v>4.0</v>
      </c>
      <c r="F38" s="20">
        <v>3.0</v>
      </c>
      <c r="G38" s="20">
        <v>18.0</v>
      </c>
    </row>
    <row r="39" ht="14.25" customHeight="1">
      <c r="A39" s="16" t="s">
        <v>84</v>
      </c>
      <c r="B39" s="16"/>
      <c r="C39" s="3" t="s">
        <v>12</v>
      </c>
      <c r="D39" s="3" t="s">
        <v>16</v>
      </c>
      <c r="E39" s="3" t="s">
        <v>17</v>
      </c>
      <c r="F39" s="3" t="s">
        <v>18</v>
      </c>
      <c r="G39" s="3" t="s">
        <v>19</v>
      </c>
    </row>
    <row r="40" ht="14.25" customHeight="1">
      <c r="A40" s="32" t="s">
        <v>86</v>
      </c>
      <c r="B40" s="33">
        <v>2.0</v>
      </c>
      <c r="C40" s="12">
        <v>6.0</v>
      </c>
      <c r="D40" s="12">
        <v>8.0</v>
      </c>
      <c r="E40" s="12">
        <v>10.0</v>
      </c>
      <c r="F40" s="12">
        <v>14.0</v>
      </c>
      <c r="G40" s="12">
        <v>10.0</v>
      </c>
    </row>
    <row r="41" ht="14.25" customHeight="1" outlineLevel="1">
      <c r="A41" s="34" t="s">
        <v>87</v>
      </c>
      <c r="B41" s="12">
        <v>5.0</v>
      </c>
      <c r="C41" s="12">
        <v>6.0</v>
      </c>
      <c r="D41" s="12">
        <v>18.0</v>
      </c>
      <c r="E41" s="23">
        <v>14.0</v>
      </c>
      <c r="F41" s="12">
        <v>52.0</v>
      </c>
      <c r="G41" s="12">
        <v>25.0</v>
      </c>
    </row>
    <row r="42" ht="14.25" customHeight="1" outlineLevel="1">
      <c r="A42" s="34" t="s">
        <v>88</v>
      </c>
      <c r="B42" s="12">
        <v>3.0</v>
      </c>
      <c r="C42" s="12">
        <v>6.0</v>
      </c>
      <c r="D42" s="12">
        <v>14.0</v>
      </c>
      <c r="E42" s="12">
        <v>8.0</v>
      </c>
      <c r="F42" s="12">
        <v>30.0</v>
      </c>
      <c r="G42" s="12">
        <v>15.0</v>
      </c>
    </row>
    <row r="43" ht="14.25" customHeight="1" outlineLevel="1">
      <c r="A43" s="16" t="s">
        <v>89</v>
      </c>
      <c r="B43" s="16"/>
      <c r="C43" s="3" t="s">
        <v>12</v>
      </c>
      <c r="D43" s="3" t="s">
        <v>16</v>
      </c>
      <c r="E43" s="3" t="s">
        <v>17</v>
      </c>
      <c r="F43" s="3" t="s">
        <v>18</v>
      </c>
      <c r="G43" s="3" t="s">
        <v>19</v>
      </c>
    </row>
    <row r="44" ht="14.25" customHeight="1">
      <c r="A44" s="34" t="s">
        <v>91</v>
      </c>
      <c r="B44" s="12">
        <v>2.0</v>
      </c>
      <c r="C44" s="12">
        <v>4.0</v>
      </c>
      <c r="D44" s="12">
        <v>8.0</v>
      </c>
      <c r="E44" s="12">
        <v>12.0</v>
      </c>
      <c r="F44" s="12">
        <v>10.0</v>
      </c>
      <c r="G44" s="12">
        <v>10.0</v>
      </c>
    </row>
    <row r="45" ht="14.25" customHeight="1" outlineLevel="1">
      <c r="A45" s="34" t="s">
        <v>92</v>
      </c>
      <c r="B45" s="12">
        <v>3.0</v>
      </c>
      <c r="C45" s="12">
        <v>2.0</v>
      </c>
      <c r="D45" s="12">
        <v>3.0</v>
      </c>
      <c r="E45" s="12">
        <v>3.0</v>
      </c>
      <c r="F45" s="12">
        <v>8.0</v>
      </c>
      <c r="G45" s="12">
        <v>60.0</v>
      </c>
    </row>
    <row r="46" ht="14.25" customHeight="1" outlineLevel="1">
      <c r="A46" s="34" t="s">
        <v>94</v>
      </c>
      <c r="B46" s="12">
        <v>3.0</v>
      </c>
      <c r="C46" s="12">
        <v>2.0</v>
      </c>
      <c r="D46" s="12">
        <v>3.0</v>
      </c>
      <c r="E46" s="12">
        <v>4.0</v>
      </c>
      <c r="F46" s="12">
        <v>8.0</v>
      </c>
      <c r="G46" s="12">
        <v>86.0</v>
      </c>
    </row>
    <row r="47" ht="14.25" customHeight="1" outlineLevel="1">
      <c r="A47" s="34" t="s">
        <v>96</v>
      </c>
      <c r="B47" s="12">
        <v>1.0</v>
      </c>
      <c r="C47" s="12">
        <v>2.0</v>
      </c>
      <c r="D47" s="12">
        <v>0.0</v>
      </c>
      <c r="E47" s="12">
        <v>0.0</v>
      </c>
      <c r="F47" s="12">
        <v>0.0</v>
      </c>
      <c r="G47" s="12">
        <v>10.0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3">
    <mergeCell ref="A2:D2"/>
    <mergeCell ref="C4:G4"/>
    <mergeCell ref="I4:K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23.43"/>
    <col customWidth="1" min="9" max="9" width="31.14"/>
    <col customWidth="1" min="10" max="10" width="16.0"/>
    <col customWidth="1" min="11" max="11" width="15.29"/>
    <col customWidth="1" min="12" max="26" width="10.71"/>
  </cols>
  <sheetData>
    <row r="1" ht="14.25" customHeight="1"/>
    <row r="2" ht="14.25" customHeight="1">
      <c r="A2" s="1" t="s">
        <v>0</v>
      </c>
      <c r="B2" s="1" t="s">
        <v>2</v>
      </c>
      <c r="C2" s="1" t="s">
        <v>3</v>
      </c>
      <c r="D2" s="3" t="s">
        <v>4</v>
      </c>
      <c r="E2" s="1" t="s">
        <v>5</v>
      </c>
      <c r="F2" s="1" t="s">
        <v>6</v>
      </c>
      <c r="H2" s="6" t="s">
        <v>7</v>
      </c>
      <c r="I2" s="8"/>
      <c r="J2" s="8"/>
      <c r="K2" s="9"/>
    </row>
    <row r="3" ht="14.25" customHeight="1">
      <c r="A3" s="7" t="s">
        <v>10</v>
      </c>
      <c r="B3" s="7" t="s">
        <v>12</v>
      </c>
      <c r="C3" s="12" t="s">
        <v>13</v>
      </c>
      <c r="D3" s="12">
        <v>25000.0</v>
      </c>
      <c r="E3" s="18">
        <f>SUM(EDT!C6:C9)</f>
        <v>56</v>
      </c>
      <c r="F3" s="21">
        <f t="shared" ref="F3:F7" si="1">D3*E3</f>
        <v>1400000</v>
      </c>
      <c r="H3" s="1" t="s">
        <v>2</v>
      </c>
      <c r="I3" s="1" t="s">
        <v>3</v>
      </c>
      <c r="J3" s="1" t="s">
        <v>24</v>
      </c>
      <c r="K3" s="1" t="s">
        <v>25</v>
      </c>
    </row>
    <row r="4" ht="14.25" customHeight="1">
      <c r="A4" s="7" t="s">
        <v>26</v>
      </c>
      <c r="B4" s="7" t="s">
        <v>16</v>
      </c>
      <c r="C4" s="22" t="s">
        <v>27</v>
      </c>
      <c r="D4" s="12">
        <v>15000.0</v>
      </c>
      <c r="E4" s="18">
        <f>SUM(EDT!D6:D9)</f>
        <v>24</v>
      </c>
      <c r="F4" s="21">
        <f t="shared" si="1"/>
        <v>360000</v>
      </c>
      <c r="H4" s="7" t="s">
        <v>12</v>
      </c>
      <c r="I4" s="12" t="s">
        <v>13</v>
      </c>
      <c r="J4" s="12" t="s">
        <v>28</v>
      </c>
      <c r="K4" s="23" t="s">
        <v>29</v>
      </c>
    </row>
    <row r="5" ht="14.25" customHeight="1">
      <c r="A5" s="7" t="s">
        <v>17</v>
      </c>
      <c r="B5" s="7" t="s">
        <v>30</v>
      </c>
      <c r="C5" s="12" t="s">
        <v>31</v>
      </c>
      <c r="D5" s="12">
        <v>18000.0</v>
      </c>
      <c r="E5" s="18">
        <f>SUM(EDT!E6:E9)</f>
        <v>8</v>
      </c>
      <c r="F5" s="21">
        <f t="shared" si="1"/>
        <v>144000</v>
      </c>
      <c r="H5" s="7" t="s">
        <v>16</v>
      </c>
      <c r="I5" s="22" t="s">
        <v>27</v>
      </c>
      <c r="J5" s="23" t="s">
        <v>32</v>
      </c>
      <c r="K5" s="23" t="s">
        <v>33</v>
      </c>
    </row>
    <row r="6" ht="14.25" customHeight="1">
      <c r="A6" s="7" t="s">
        <v>18</v>
      </c>
      <c r="B6" s="7" t="s">
        <v>34</v>
      </c>
      <c r="C6" s="12" t="s">
        <v>36</v>
      </c>
      <c r="D6" s="12">
        <v>12000.0</v>
      </c>
      <c r="E6" s="18">
        <f>SUM(EDT!F6:F9)</f>
        <v>8</v>
      </c>
      <c r="F6" s="21">
        <f t="shared" si="1"/>
        <v>96000</v>
      </c>
      <c r="H6" s="7" t="s">
        <v>37</v>
      </c>
      <c r="I6" s="12" t="s">
        <v>31</v>
      </c>
      <c r="J6" s="23" t="s">
        <v>38</v>
      </c>
      <c r="K6" s="23" t="s">
        <v>39</v>
      </c>
    </row>
    <row r="7" ht="14.25" customHeight="1">
      <c r="A7" s="7" t="s">
        <v>40</v>
      </c>
      <c r="B7" s="7" t="s">
        <v>19</v>
      </c>
      <c r="C7" s="12" t="s">
        <v>41</v>
      </c>
      <c r="D7" s="12">
        <v>14000.0</v>
      </c>
      <c r="E7" s="18">
        <f>SUM(EDT!G6:G9)</f>
        <v>20</v>
      </c>
      <c r="F7" s="21">
        <f t="shared" si="1"/>
        <v>280000</v>
      </c>
      <c r="H7" s="7" t="s">
        <v>34</v>
      </c>
      <c r="I7" s="12" t="s">
        <v>36</v>
      </c>
      <c r="J7" s="23" t="s">
        <v>42</v>
      </c>
      <c r="K7" s="23" t="s">
        <v>43</v>
      </c>
    </row>
    <row r="8" ht="14.25" customHeight="1">
      <c r="A8" s="7"/>
      <c r="B8" s="11" t="s">
        <v>44</v>
      </c>
      <c r="C8" s="13"/>
      <c r="D8" s="13"/>
      <c r="E8" s="14"/>
      <c r="F8" s="21">
        <f>SUM(F3:F7)</f>
        <v>2280000</v>
      </c>
      <c r="H8" s="7" t="s">
        <v>19</v>
      </c>
      <c r="I8" s="12" t="s">
        <v>41</v>
      </c>
      <c r="J8" s="23" t="s">
        <v>46</v>
      </c>
      <c r="K8" s="23" t="s">
        <v>47</v>
      </c>
    </row>
    <row r="9" ht="14.25" customHeight="1"/>
    <row r="10" ht="14.25" customHeight="1"/>
    <row r="11" ht="14.25" customHeight="1">
      <c r="A11" s="1" t="s">
        <v>0</v>
      </c>
      <c r="B11" s="1" t="s">
        <v>2</v>
      </c>
      <c r="C11" s="1" t="s">
        <v>3</v>
      </c>
      <c r="D11" s="3" t="s">
        <v>48</v>
      </c>
      <c r="E11" s="1" t="s">
        <v>5</v>
      </c>
      <c r="F11" s="1" t="s">
        <v>49</v>
      </c>
      <c r="H11" s="6" t="s">
        <v>50</v>
      </c>
      <c r="I11" s="9"/>
    </row>
    <row r="12" ht="14.25" customHeight="1">
      <c r="A12" s="7" t="s">
        <v>10</v>
      </c>
      <c r="B12" s="7" t="s">
        <v>12</v>
      </c>
      <c r="C12" s="12" t="s">
        <v>13</v>
      </c>
      <c r="D12" s="12">
        <v>25000.0</v>
      </c>
      <c r="E12" s="18">
        <f>SUM(EDT!C12:C16)</f>
        <v>98</v>
      </c>
      <c r="F12" s="21">
        <f t="shared" ref="F12:F16" si="2">D12*E12</f>
        <v>2450000</v>
      </c>
      <c r="H12" s="7" t="s">
        <v>12</v>
      </c>
      <c r="I12" s="21">
        <f t="shared" ref="I12:I16" si="3">F3+F12+F21+F30+F39</f>
        <v>7000000</v>
      </c>
      <c r="K12" s="25"/>
    </row>
    <row r="13" ht="14.25" customHeight="1">
      <c r="A13" s="7" t="s">
        <v>26</v>
      </c>
      <c r="B13" s="7" t="s">
        <v>16</v>
      </c>
      <c r="C13" s="22" t="s">
        <v>27</v>
      </c>
      <c r="D13" s="12">
        <v>15000.0</v>
      </c>
      <c r="E13" s="18">
        <f>SUM(EDT!D12:D16)</f>
        <v>126</v>
      </c>
      <c r="F13" s="21">
        <f t="shared" si="2"/>
        <v>1890000</v>
      </c>
      <c r="H13" s="7" t="s">
        <v>16</v>
      </c>
      <c r="I13" s="21">
        <f t="shared" si="3"/>
        <v>8400000</v>
      </c>
      <c r="K13" s="25"/>
    </row>
    <row r="14" ht="14.25" customHeight="1">
      <c r="A14" s="7" t="s">
        <v>17</v>
      </c>
      <c r="B14" s="7" t="s">
        <v>30</v>
      </c>
      <c r="C14" s="12" t="s">
        <v>31</v>
      </c>
      <c r="D14" s="12">
        <v>18000.0</v>
      </c>
      <c r="E14" s="18">
        <f>SUM(EDT!E12:E16)</f>
        <v>74</v>
      </c>
      <c r="F14" s="21">
        <f t="shared" si="2"/>
        <v>1332000</v>
      </c>
      <c r="H14" s="7" t="s">
        <v>37</v>
      </c>
      <c r="I14" s="21">
        <f t="shared" si="3"/>
        <v>5040000</v>
      </c>
      <c r="K14" s="25"/>
    </row>
    <row r="15" ht="14.25" customHeight="1">
      <c r="A15" s="7" t="s">
        <v>18</v>
      </c>
      <c r="B15" s="7" t="s">
        <v>34</v>
      </c>
      <c r="C15" s="12" t="s">
        <v>36</v>
      </c>
      <c r="D15" s="12">
        <v>12000.0</v>
      </c>
      <c r="E15" s="18">
        <f>SUM(EDT!F12:F16)</f>
        <v>72</v>
      </c>
      <c r="F15" s="21">
        <f t="shared" si="2"/>
        <v>864000</v>
      </c>
      <c r="H15" s="7" t="s">
        <v>34</v>
      </c>
      <c r="I15" s="21">
        <f t="shared" si="3"/>
        <v>3144000</v>
      </c>
      <c r="K15" s="25"/>
    </row>
    <row r="16" ht="14.25" customHeight="1">
      <c r="A16" s="7" t="s">
        <v>40</v>
      </c>
      <c r="B16" s="7" t="s">
        <v>19</v>
      </c>
      <c r="C16" s="12" t="s">
        <v>41</v>
      </c>
      <c r="D16" s="12">
        <v>14000.0</v>
      </c>
      <c r="E16" s="18">
        <f>SUM(EDT!G12:G16)</f>
        <v>96</v>
      </c>
      <c r="F16" s="21">
        <f t="shared" si="2"/>
        <v>1344000</v>
      </c>
      <c r="H16" s="7" t="s">
        <v>19</v>
      </c>
      <c r="I16" s="21">
        <f t="shared" si="3"/>
        <v>5460000</v>
      </c>
      <c r="K16" s="25"/>
    </row>
    <row r="17" ht="14.25" customHeight="1">
      <c r="A17" s="7"/>
      <c r="B17" s="11" t="s">
        <v>67</v>
      </c>
      <c r="C17" s="13"/>
      <c r="D17" s="13"/>
      <c r="E17" s="14"/>
      <c r="F17" s="21">
        <f>SUM(F12:F16)</f>
        <v>7880000</v>
      </c>
      <c r="H17" s="29" t="s">
        <v>71</v>
      </c>
      <c r="I17" s="30">
        <f>SUM(I12:I16)</f>
        <v>29044000</v>
      </c>
      <c r="J17" s="31"/>
    </row>
    <row r="18" ht="14.25" customHeight="1"/>
    <row r="19" ht="14.25" customHeight="1"/>
    <row r="20" ht="14.25" customHeight="1">
      <c r="A20" s="1" t="s">
        <v>0</v>
      </c>
      <c r="B20" s="1" t="s">
        <v>2</v>
      </c>
      <c r="C20" s="1" t="s">
        <v>3</v>
      </c>
      <c r="D20" s="3" t="s">
        <v>48</v>
      </c>
      <c r="E20" s="1" t="s">
        <v>5</v>
      </c>
      <c r="F20" s="1" t="s">
        <v>76</v>
      </c>
      <c r="H20" s="6" t="s">
        <v>77</v>
      </c>
      <c r="I20" s="9"/>
    </row>
    <row r="21" ht="14.25" customHeight="1">
      <c r="A21" s="7" t="s">
        <v>10</v>
      </c>
      <c r="B21" s="7" t="s">
        <v>12</v>
      </c>
      <c r="C21" s="12" t="s">
        <v>13</v>
      </c>
      <c r="D21" s="12">
        <v>25000.0</v>
      </c>
      <c r="E21" s="18">
        <f>SUM(EDT!C18:C38)</f>
        <v>98</v>
      </c>
      <c r="F21" s="21">
        <f t="shared" ref="F21:F25" si="4">D21*E21</f>
        <v>2450000</v>
      </c>
      <c r="H21" s="7" t="s">
        <v>15</v>
      </c>
      <c r="I21" s="21">
        <f>F8</f>
        <v>2280000</v>
      </c>
    </row>
    <row r="22" ht="14.25" customHeight="1">
      <c r="A22" s="7" t="s">
        <v>26</v>
      </c>
      <c r="B22" s="7" t="s">
        <v>16</v>
      </c>
      <c r="C22" s="22" t="s">
        <v>27</v>
      </c>
      <c r="D22" s="12">
        <v>15000.0</v>
      </c>
      <c r="E22" s="18">
        <f>SUM(EDT!D18:D38)</f>
        <v>356</v>
      </c>
      <c r="F22" s="21">
        <f t="shared" si="4"/>
        <v>5340000</v>
      </c>
      <c r="H22" s="7" t="s">
        <v>85</v>
      </c>
      <c r="I22" s="21">
        <f>F17</f>
        <v>7880000</v>
      </c>
    </row>
    <row r="23" ht="14.25" customHeight="1">
      <c r="A23" s="7" t="s">
        <v>17</v>
      </c>
      <c r="B23" s="7" t="s">
        <v>30</v>
      </c>
      <c r="C23" s="12" t="s">
        <v>31</v>
      </c>
      <c r="D23" s="12">
        <v>18000.0</v>
      </c>
      <c r="E23" s="18">
        <f>SUM(EDT!E18:E38)</f>
        <v>147</v>
      </c>
      <c r="F23" s="21">
        <f t="shared" si="4"/>
        <v>2646000</v>
      </c>
      <c r="H23" s="7" t="s">
        <v>58</v>
      </c>
      <c r="I23" s="21">
        <f>F26</f>
        <v>11968000</v>
      </c>
    </row>
    <row r="24" ht="14.25" customHeight="1">
      <c r="A24" s="7" t="s">
        <v>18</v>
      </c>
      <c r="B24" s="7" t="s">
        <v>34</v>
      </c>
      <c r="C24" s="12" t="s">
        <v>36</v>
      </c>
      <c r="D24" s="12">
        <v>12000.0</v>
      </c>
      <c r="E24" s="18">
        <f>SUM(EDT!F18:F38)</f>
        <v>60</v>
      </c>
      <c r="F24" s="21">
        <f t="shared" si="4"/>
        <v>720000</v>
      </c>
      <c r="H24" s="7" t="s">
        <v>90</v>
      </c>
      <c r="I24" s="21">
        <f>F35</f>
        <v>3478000</v>
      </c>
    </row>
    <row r="25" ht="14.25" customHeight="1">
      <c r="A25" s="7" t="s">
        <v>40</v>
      </c>
      <c r="B25" s="7" t="s">
        <v>19</v>
      </c>
      <c r="C25" s="12" t="s">
        <v>41</v>
      </c>
      <c r="D25" s="12">
        <v>14000.0</v>
      </c>
      <c r="E25" s="18">
        <f>SUM(EDT!G18:G38)</f>
        <v>58</v>
      </c>
      <c r="F25" s="21">
        <f t="shared" si="4"/>
        <v>812000</v>
      </c>
      <c r="H25" s="7" t="s">
        <v>93</v>
      </c>
      <c r="I25" s="21">
        <f>F44</f>
        <v>3438000</v>
      </c>
    </row>
    <row r="26" ht="14.25" customHeight="1">
      <c r="A26" s="7"/>
      <c r="B26" s="11" t="s">
        <v>95</v>
      </c>
      <c r="C26" s="13"/>
      <c r="D26" s="13"/>
      <c r="E26" s="14"/>
      <c r="F26" s="21">
        <f>SUM(F21:F25)</f>
        <v>11968000</v>
      </c>
      <c r="H26" s="29" t="s">
        <v>97</v>
      </c>
      <c r="I26" s="30">
        <f>SUM(I21:I25)</f>
        <v>29044000</v>
      </c>
    </row>
    <row r="27" ht="14.25" customHeight="1"/>
    <row r="28" ht="14.25" customHeight="1"/>
    <row r="29" ht="14.25" customHeight="1">
      <c r="A29" s="1" t="s">
        <v>0</v>
      </c>
      <c r="B29" s="1" t="s">
        <v>2</v>
      </c>
      <c r="C29" s="1" t="s">
        <v>3</v>
      </c>
      <c r="D29" s="3" t="s">
        <v>48</v>
      </c>
      <c r="E29" s="1" t="s">
        <v>5</v>
      </c>
      <c r="F29" s="1" t="s">
        <v>98</v>
      </c>
      <c r="H29" s="1" t="s">
        <v>99</v>
      </c>
      <c r="I29" s="35">
        <v>0.6</v>
      </c>
    </row>
    <row r="30" ht="14.25" customHeight="1">
      <c r="A30" s="7" t="s">
        <v>10</v>
      </c>
      <c r="B30" s="7" t="s">
        <v>12</v>
      </c>
      <c r="C30" s="12" t="s">
        <v>13</v>
      </c>
      <c r="D30" s="12">
        <v>25000.0</v>
      </c>
      <c r="E30" s="18">
        <f>SUM(EDT!C40:C42)</f>
        <v>18</v>
      </c>
      <c r="F30" s="21">
        <f t="shared" ref="F30:F34" si="5">D30*E30</f>
        <v>450000</v>
      </c>
      <c r="H30" s="7" t="s">
        <v>100</v>
      </c>
      <c r="I30" s="21">
        <f>I26*I29</f>
        <v>17426400</v>
      </c>
    </row>
    <row r="31" ht="14.25" customHeight="1">
      <c r="A31" s="7" t="s">
        <v>26</v>
      </c>
      <c r="B31" s="7" t="s">
        <v>16</v>
      </c>
      <c r="C31" s="22" t="s">
        <v>27</v>
      </c>
      <c r="D31" s="12">
        <v>15000.0</v>
      </c>
      <c r="E31" s="18">
        <f>SUM(EDT!D40:D42)</f>
        <v>40</v>
      </c>
      <c r="F31" s="21">
        <f t="shared" si="5"/>
        <v>600000</v>
      </c>
      <c r="H31" s="7" t="s">
        <v>101</v>
      </c>
      <c r="I31" s="21">
        <f>I26+I30</f>
        <v>46470400</v>
      </c>
    </row>
    <row r="32" ht="14.25" customHeight="1">
      <c r="A32" s="7" t="s">
        <v>17</v>
      </c>
      <c r="B32" s="7" t="s">
        <v>30</v>
      </c>
      <c r="C32" s="12" t="s">
        <v>31</v>
      </c>
      <c r="D32" s="12">
        <v>18000.0</v>
      </c>
      <c r="E32" s="18">
        <f>SUM(EDT!E40:E42)</f>
        <v>32</v>
      </c>
      <c r="F32" s="21">
        <f t="shared" si="5"/>
        <v>576000</v>
      </c>
    </row>
    <row r="33" ht="14.25" customHeight="1">
      <c r="A33" s="7" t="s">
        <v>18</v>
      </c>
      <c r="B33" s="7" t="s">
        <v>34</v>
      </c>
      <c r="C33" s="12" t="s">
        <v>36</v>
      </c>
      <c r="D33" s="12">
        <v>12000.0</v>
      </c>
      <c r="E33" s="18">
        <f>SUM(EDT!F40:F42)</f>
        <v>96</v>
      </c>
      <c r="F33" s="21">
        <f t="shared" si="5"/>
        <v>1152000</v>
      </c>
    </row>
    <row r="34" ht="14.25" customHeight="1">
      <c r="A34" s="7" t="s">
        <v>40</v>
      </c>
      <c r="B34" s="7" t="s">
        <v>19</v>
      </c>
      <c r="C34" s="12" t="s">
        <v>41</v>
      </c>
      <c r="D34" s="12">
        <v>14000.0</v>
      </c>
      <c r="E34" s="18">
        <f>SUM(EDT!G40:G42)</f>
        <v>50</v>
      </c>
      <c r="F34" s="21">
        <f t="shared" si="5"/>
        <v>700000</v>
      </c>
    </row>
    <row r="35" ht="14.25" customHeight="1">
      <c r="A35" s="7"/>
      <c r="B35" s="11" t="s">
        <v>102</v>
      </c>
      <c r="C35" s="13"/>
      <c r="D35" s="13"/>
      <c r="E35" s="14"/>
      <c r="F35" s="21">
        <f>SUM(F30:F34)</f>
        <v>3478000</v>
      </c>
    </row>
    <row r="36" ht="14.25" customHeight="1"/>
    <row r="37" ht="14.25" customHeight="1"/>
    <row r="38" ht="14.25" customHeight="1">
      <c r="A38" s="1" t="s">
        <v>0</v>
      </c>
      <c r="B38" s="1" t="s">
        <v>2</v>
      </c>
      <c r="C38" s="1" t="s">
        <v>3</v>
      </c>
      <c r="D38" s="3" t="s">
        <v>48</v>
      </c>
      <c r="E38" s="1" t="s">
        <v>5</v>
      </c>
      <c r="F38" s="3" t="s">
        <v>103</v>
      </c>
    </row>
    <row r="39" ht="14.25" customHeight="1">
      <c r="A39" s="7" t="s">
        <v>10</v>
      </c>
      <c r="B39" s="7" t="s">
        <v>12</v>
      </c>
      <c r="C39" s="12" t="s">
        <v>13</v>
      </c>
      <c r="D39" s="12">
        <v>25000.0</v>
      </c>
      <c r="E39" s="18">
        <f>SUM(EDT!C44:C47)</f>
        <v>10</v>
      </c>
      <c r="F39" s="21">
        <f t="shared" ref="F39:F43" si="6">D39*E39</f>
        <v>250000</v>
      </c>
    </row>
    <row r="40" ht="14.25" customHeight="1">
      <c r="A40" s="7" t="s">
        <v>26</v>
      </c>
      <c r="B40" s="7" t="s">
        <v>16</v>
      </c>
      <c r="C40" s="22" t="s">
        <v>27</v>
      </c>
      <c r="D40" s="12">
        <v>15000.0</v>
      </c>
      <c r="E40" s="18">
        <f>SUM(EDT!D44:D47)</f>
        <v>14</v>
      </c>
      <c r="F40" s="21">
        <f t="shared" si="6"/>
        <v>210000</v>
      </c>
    </row>
    <row r="41" ht="14.25" customHeight="1">
      <c r="A41" s="7" t="s">
        <v>17</v>
      </c>
      <c r="B41" s="7" t="s">
        <v>30</v>
      </c>
      <c r="C41" s="12" t="s">
        <v>31</v>
      </c>
      <c r="D41" s="12">
        <v>18000.0</v>
      </c>
      <c r="E41" s="18">
        <f>SUM(EDT!E44:E47)</f>
        <v>19</v>
      </c>
      <c r="F41" s="21">
        <f t="shared" si="6"/>
        <v>342000</v>
      </c>
    </row>
    <row r="42" ht="14.25" customHeight="1">
      <c r="A42" s="7" t="s">
        <v>18</v>
      </c>
      <c r="B42" s="7" t="s">
        <v>34</v>
      </c>
      <c r="C42" s="12" t="s">
        <v>36</v>
      </c>
      <c r="D42" s="12">
        <v>12000.0</v>
      </c>
      <c r="E42" s="18">
        <f>SUM(EDT!F44:F47)</f>
        <v>26</v>
      </c>
      <c r="F42" s="21">
        <f t="shared" si="6"/>
        <v>312000</v>
      </c>
    </row>
    <row r="43" ht="14.25" customHeight="1">
      <c r="A43" s="7" t="s">
        <v>40</v>
      </c>
      <c r="B43" s="7" t="s">
        <v>19</v>
      </c>
      <c r="C43" s="12" t="s">
        <v>41</v>
      </c>
      <c r="D43" s="12">
        <v>14000.0</v>
      </c>
      <c r="E43" s="18">
        <f>SUM(EDT!G44:G47)</f>
        <v>166</v>
      </c>
      <c r="F43" s="21">
        <f t="shared" si="6"/>
        <v>2324000</v>
      </c>
    </row>
    <row r="44" ht="14.25" customHeight="1">
      <c r="A44" s="7"/>
      <c r="B44" s="11" t="s">
        <v>104</v>
      </c>
      <c r="C44" s="13"/>
      <c r="D44" s="13"/>
      <c r="E44" s="14"/>
      <c r="F44" s="21">
        <f>SUM(F39:F43)</f>
        <v>3438000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H2:K2"/>
    <mergeCell ref="B8:E8"/>
    <mergeCell ref="H11:I11"/>
    <mergeCell ref="B17:E17"/>
    <mergeCell ref="H20:I20"/>
    <mergeCell ref="B26:E26"/>
    <mergeCell ref="B35:E35"/>
    <mergeCell ref="B44:E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